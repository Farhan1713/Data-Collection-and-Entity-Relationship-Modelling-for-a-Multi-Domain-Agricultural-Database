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b53ef1986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Info &amp; Sequencing Data" sheetId="1" r:id="Ra76882ba95c5485a"/>
    <x:sheet xmlns:r="http://schemas.openxmlformats.org/officeDocument/2006/relationships" name="Top Bacterial Genera" sheetId="2" r:id="R01731faae5864d17"/>
    <x:sheet xmlns:r="http://schemas.openxmlformats.org/officeDocument/2006/relationships" name="Study Overview" sheetId="3" r:id="R7ef7f3a5fa08471e"/>
    <x:sheet xmlns:r="http://schemas.openxmlformats.org/officeDocument/2006/relationships" name="Correction Audit" sheetId="4" r:id="Rb4d82ed5d08647a3"/>
  </x:sheets>
</x:workbook>
</file>

<file path=xl/sharedStrings.xml><?xml version="1.0" encoding="utf-8"?>
<x:sst xmlns:x="http://schemas.openxmlformats.org/spreadsheetml/2006/main">
  <x:si>
    <x:t xml:space="preserve">Microbiome Diversity in Soils of Agro-Ecological Zones of Bangladesh</x:t>
  </x:si>
  <x:si>
    <x:t xml:space="preserve">Source: Islam et al. (2025), Microbiology Resource Announcements, PMC11984168 | DOI: 10.1128/mra.01237-24</x:t>
  </x:si>
  <x:si>
    <x:t xml:space="preserve">Sample ID</x:t>
  </x:si>
  <x:si>
    <x:t xml:space="preserve">Location</x:t>
  </x:si>
  <x:si>
    <x:t xml:space="preserve">Coordinate (N, E)</x:t>
  </x:si>
  <x:si>
    <x:t xml:space="preserve">Source</x:t>
  </x:si>
  <x:si>
    <x:t xml:space="preserve">pH</x:t>
  </x:si>
  <x:si>
    <x:t xml:space="preserve">Soil Organic Matter</x:t>
  </x:si>
  <x:si>
    <x:t xml:space="preserve">Soil Texture</x:t>
  </x:si>
  <x:si>
    <x:t xml:space="preserve">No. of Raw Reads</x:t>
  </x:si>
  <x:si>
    <x:t xml:space="preserve">No. of Mapped Reads</x:t>
  </x:si>
  <x:si>
    <x:t xml:space="preserve">Mapped %</x:t>
  </x:si>
  <x:si>
    <x:t xml:space="preserve">No. of Observed OTUs</x:t>
  </x:si>
  <x:si>
    <x:t xml:space="preserve">No. of Genera Detected</x:t>
  </x:si>
  <x:si>
    <x:t xml:space="preserve">SRA Accession</x:t>
  </x:si>
  <x:si>
    <x:t xml:space="preserve">TOTAL / AVERAGE</x:t>
  </x:si>
  <x:si>
    <x:t xml:space="preserve">Top Abundant Bacterial Genera Across All AEZs</x:t>
  </x:si>
  <x:si>
    <x:t xml:space="preserve">Rank</x:t>
  </x:si>
  <x:si>
    <x:t xml:space="preserve">Genus</x:t>
  </x:si>
  <x:si>
    <x:t xml:space="preserve">Relative Abundance (%)</x:t>
  </x:si>
  <x:si>
    <x:t xml:space="preserve">Study Overview &amp; Key Findings</x:t>
  </x:si>
  <x:si>
    <x:t xml:space="preserve">Parameter</x:t>
  </x:si>
  <x:si>
    <x:t xml:space="preserve">Detail</x:t>
  </x:si>
  <x:si>
    <x:t xml:space="preserve">Title</x:t>
  </x:si>
  <x:si>
    <x:t xml:space="preserve">Microbiome Diversity in Soils of the Agro-Ecological Zones of Bangladesh</x:t>
  </x:si>
  <x:si>
    <x:t xml:space="preserve">Journal</x:t>
  </x:si>
  <x:si>
    <x:t xml:space="preserve">Microbiology Resource Announcements (MRA), Vol 14(4), 2025</x:t>
  </x:si>
  <x:si>
    <x:t xml:space="preserve">DOI</x:t>
  </x:si>
  <x:si>
    <x:t xml:space="preserve">10.1128/mra.01237-24</x:t>
  </x:si>
  <x:si>
    <x:t xml:space="preserve">PMC ID</x:t>
  </x:si>
  <x:si>
    <x:t xml:space="preserve">PMC11984168</x:t>
  </x:si>
  <x:si>
    <x:t xml:space="preserve">Lead Authors</x:t>
  </x:si>
  <x:si>
    <x:t xml:space="preserve">Nurul Islam &amp; M. Nazmul Hoque (equal contribution)</x:t>
  </x:si>
  <x:si>
    <x:t xml:space="preserve">Institution</x:t>
  </x:si>
  <x:si>
    <x:t xml:space="preserve">SRDI, BSMRAU (Gazipur), Bangladesh Agricultural Research Council</x:t>
  </x:si>
  <x:si>
    <x:t xml:space="preserve">Funding</x:t>
  </x:si>
  <x:si>
    <x:t xml:space="preserve">Study Period</x:t>
  </x:si>
  <x:si>
    <x:t xml:space="preserve">March – August 2024 (sample collection)</x:t>
  </x:si>
  <x:si>
    <x:t xml:space="preserve">AEZs Studied</x:t>
  </x:si>
  <x:si>
    <x:t xml:space="preserve">14 out of 30 agro-ecological zones of Bangladesh</x:t>
  </x:si>
  <x:si>
    <x:t xml:space="preserve">Sequencing Method</x:t>
  </x:si>
  <x:si>
    <x:t xml:space="preserve">16S rRNA gene amplicon sequencing (V3–V4 regions), Illumina MiSeq</x:t>
  </x:si>
  <x:si>
    <x:t xml:space="preserve">Primers Used</x:t>
  </x:si>
  <x:si>
    <x:t xml:space="preserve">341F and 806R</x:t>
  </x:si>
  <x:si>
    <x:t xml:space="preserve">Reference Database</x:t>
  </x:si>
  <x:si>
    <x:t xml:space="preserve">SILVA v.138 (≥98% similarity for OTU clustering)</x:t>
  </x:si>
  <x:si>
    <x:t xml:space="preserve">Total Raw Reads</x:t>
  </x:si>
  <x:si>
    <x:t xml:space="preserve">7,199,364 (avg 514,240 per sample)</x:t>
  </x:si>
  <x:si>
    <x:t xml:space="preserve">Total Mapped Reads</x:t>
  </x:si>
  <x:si>
    <x:t xml:space="preserve">343,166 (4.77% of raw reads)</x:t>
  </x:si>
  <x:si>
    <x:t xml:space="preserve">Total OTUs Identified</x:t>
  </x:si>
  <x:si>
    <x:t xml:space="preserve">544 bacterial OTUs</x:t>
  </x:si>
  <x:si>
    <x:t xml:space="preserve">Taxonomic Scope</x:t>
  </x:si>
  <x:si>
    <x:t xml:space="preserve">16 phyla, 45 classes, 77 orders, 151 families, 341 genera</x:t>
  </x:si>
  <x:si>
    <x:t xml:space="preserve">Highest OTU Sample</x:t>
  </x:si>
  <x:si>
    <x:t xml:space="preserve">Lowest OTU Sample</x:t>
  </x:si>
  <x:si>
    <x:t xml:space="preserve">Most Abundant Genus</x:t>
  </x:si>
  <x:si>
    <x:t xml:space="preserve">Gemmata (12.11%)</x:t>
  </x:si>
  <x:si>
    <x:t xml:space="preserve">BioProject Accession</x:t>
  </x:si>
  <x:si>
    <x:t xml:space="preserve">PRJNA1181648 (NCBI SRA)</x:t>
  </x:si>
</x:sst>
</file>

<file path=xl/styles.xml><?xml version="1.0" encoding="utf-8"?>
<x:styleSheet xmlns:x="http://schemas.openxmlformats.org/spreadsheetml/2006/main">
  <x:numFmts count="1">
    <x:numFmt numFmtId="200" formatCode="0.00%"/>
  </x:numFmts>
  <x:fonts count="11">
    <x:font>
      <x:sz val="11"/>
      <x:color theme="1"/>
      <x:name val="Calibri"/>
    </x:font>
    <x:font>
      <x:b/>
      <x:sz val="12"/>
      <x:color rgb="FFFFFFFF"/>
      <x:name val="Arial"/>
    </x:font>
    <x:font>
      <x:b/>
      <x:sz val="13"/>
      <x:color rgb="FFFFFFFF"/>
      <x:name val="Arial"/>
    </x:font>
    <x:font/>
    <x:font>
      <x:b/>
      <x:sz val="10"/>
      <x:color rgb="FFFFFFFF"/>
      <x:name val="Arial"/>
    </x:font>
    <x:font>
      <x:i/>
      <x:sz val="9"/>
      <x:color rgb="FF555555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0"/>
      <x:color rgb="FF000000"/>
      <x:name val="Arial"/>
    </x:font>
    <x:font>
      <x:sz val="11"/>
      <x:color theme="1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A4D2E"/>
      </x:patternFill>
    </x:fill>
    <x:fill>
      <x:patternFill patternType="solid">
        <x:fgColor rgb="FF2E7D52"/>
      </x:patternFill>
    </x:fill>
    <x:fill>
      <x:patternFill patternType="solid">
        <x:fgColor rgb="FFD6EAD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AAAAAA"/>
      </x:left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 applyFont="1" applyAlignment="1"/>
  </x:cellStyleXfs>
  <x:cellXfs count="54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3" fillId="0" borderId="2" xfId="0" applyFont="1" applyBorder="1"/>
    <x:xf numFmtId="0" fontId="3" fillId="0" borderId="3" xfId="0" applyFont="1" applyBorder="1"/>
    <x:xf numFmtId="0" fontId="4" fillId="3" borderId="4" xfId="0" applyFont="1" applyFill="1" applyBorder="1" applyAlignment="1">
      <x:alignment horizontal="center" vertical="center" wrapText="1"/>
    </x:xf>
    <x:xf numFmtId="0" fontId="5" fillId="0" borderId="0" xfId="0" applyFont="1" applyAlignment="1">
      <x:alignment horizontal="center"/>
    </x:xf>
    <x:xf numFmtId="0" fontId="6" fillId="4" borderId="4" xfId="0" applyFont="1" applyFill="1" applyBorder="1" applyAlignment="1">
      <x:alignment horizontal="left" vertical="center"/>
    </x:xf>
    <x:xf numFmtId="0" fontId="7" fillId="4" borderId="4" xfId="0" applyFont="1" applyFill="1" applyBorder="1" applyAlignment="1">
      <x:alignment horizontal="left" vertical="center" wrapText="1"/>
    </x:xf>
    <x:xf numFmtId="0" fontId="6" fillId="5" borderId="4" xfId="0" applyFont="1" applyFill="1" applyBorder="1" applyAlignment="1">
      <x:alignment horizontal="left" vertical="center"/>
    </x:xf>
    <x:xf numFmtId="0" fontId="7" fillId="5" borderId="4" xfId="0" applyFont="1" applyFill="1" applyBorder="1" applyAlignment="1">
      <x:alignment horizontal="left" vertical="center" wrapText="1"/>
    </x:xf>
    <x:xf numFmtId="0" fontId="7" fillId="4" borderId="4" xfId="0" applyFont="1" applyFill="1" applyBorder="1" applyAlignment="1">
      <x:alignment horizontal="center" vertical="center" wrapText="1"/>
    </x:xf>
    <x:xf numFmtId="0" fontId="6" fillId="4" borderId="4" xfId="0" applyFont="1" applyFill="1" applyBorder="1" applyAlignment="1">
      <x:alignment horizontal="left" vertical="center" wrapText="1"/>
    </x:xf>
    <x:xf numFmtId="10" fontId="7" fillId="4" borderId="4" xfId="0" applyNumberFormat="1" applyFont="1" applyFill="1" applyBorder="1" applyAlignment="1">
      <x:alignment horizontal="right" vertical="center" wrapText="1"/>
    </x:xf>
    <x:xf numFmtId="0" fontId="6" fillId="4" borderId="4" xfId="0" applyFont="1" applyFill="1" applyBorder="1" applyAlignment="1">
      <x:alignment horizontal="center" vertical="center" wrapText="1"/>
    </x:xf>
    <x:xf numFmtId="0" fontId="7" fillId="5" borderId="4" xfId="0" applyFont="1" applyFill="1" applyBorder="1" applyAlignment="1">
      <x:alignment horizontal="center" vertical="center" wrapText="1"/>
    </x:xf>
    <x:xf numFmtId="0" fontId="6" fillId="5" borderId="4" xfId="0" applyFont="1" applyFill="1" applyBorder="1" applyAlignment="1">
      <x:alignment horizontal="left" vertical="center" wrapText="1"/>
    </x:xf>
    <x:xf numFmtId="10" fontId="7" fillId="5" borderId="4" xfId="0" applyNumberFormat="1" applyFont="1" applyFill="1" applyBorder="1" applyAlignment="1">
      <x:alignment horizontal="right" vertical="center" wrapText="1"/>
    </x:xf>
    <x:xf numFmtId="3" fontId="7" fillId="4" borderId="4" xfId="0" applyNumberFormat="1" applyFont="1" applyFill="1" applyBorder="1" applyAlignment="1">
      <x:alignment horizontal="right" vertical="center" wrapText="1"/>
    </x:xf>
    <x:xf numFmtId="10" fontId="7" fillId="4" borderId="4" xfId="0" applyNumberFormat="1" applyFont="1" applyFill="1" applyBorder="1" applyAlignment="1">
      <x:alignment horizontal="right" vertical="center"/>
    </x:xf>
    <x:xf numFmtId="0" fontId="6" fillId="5" borderId="4" xfId="0" applyFont="1" applyFill="1" applyBorder="1" applyAlignment="1">
      <x:alignment horizontal="center" vertical="center" wrapText="1"/>
    </x:xf>
    <x:xf numFmtId="3" fontId="7" fillId="5" borderId="4" xfId="0" applyNumberFormat="1" applyFont="1" applyFill="1" applyBorder="1" applyAlignment="1">
      <x:alignment horizontal="right" vertical="center" wrapText="1"/>
    </x:xf>
    <x:xf numFmtId="10" fontId="7" fillId="5" borderId="4" xfId="0" applyNumberFormat="1" applyFont="1" applyFill="1" applyBorder="1" applyAlignment="1">
      <x:alignment horizontal="right" vertical="center"/>
    </x:xf>
    <x:xf numFmtId="0" fontId="8" fillId="6" borderId="1" xfId="0" applyFont="1" applyFill="1" applyBorder="1" applyAlignment="1">
      <x:alignment horizontal="center" vertical="center" wrapText="1"/>
    </x:xf>
    <x:xf numFmtId="3" fontId="6" fillId="6" borderId="4" xfId="0" applyNumberFormat="1" applyFont="1" applyFill="1" applyBorder="1" applyAlignment="1">
      <x:alignment horizontal="right" vertical="center" wrapText="1"/>
    </x:xf>
    <x:xf numFmtId="10" fontId="6" fillId="6" borderId="4" xfId="0" applyNumberFormat="1" applyFont="1" applyFill="1" applyBorder="1" applyAlignment="1">
      <x:alignment horizontal="right" vertical="center" wrapText="1"/>
    </x:xf>
    <x:xf numFmtId="0" fontId="9" fillId="6" borderId="4" xfId="0" applyFont="1" applyFill="1" applyBorder="1"/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left" vertical="center"/>
    </x:xf>
    <x:xf numFmtId="0" fontId="7" fillId="4" borderId="4" xfId="0" applyNumberFormat="1" applyFont="1" applyFill="1" applyBorder="1" applyAlignment="1">
      <x:alignment horizontal="left" vertical="center" wrapText="1"/>
    </x:xf>
    <x:xf numFmtId="0" fontId="6" fillId="5" borderId="4" xfId="0" applyNumberFormat="1" applyFont="1" applyFill="1" applyBorder="1" applyAlignment="1">
      <x:alignment horizontal="left" vertical="center"/>
    </x:xf>
    <x:xf numFmtId="0" fontId="7" fillId="5" borderId="4" xfId="0" applyNumberFormat="1" applyFont="1" applyFill="1" applyBorder="1" applyAlignment="1">
      <x:alignment horizontal="left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left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left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0" fillId="6" borderId="4" xfId="0" applyNumberFormat="1" applyFont="1" applyFill="1" applyBorder="1"/>
    <x:xf numFmtId="200" fontId="7" fillId="4" borderId="4" xfId="0" applyNumberFormat="1" applyFont="1" applyFill="1" applyBorder="1" applyAlignment="1">
      <x:alignment horizontal="right" vertical="center"/>
    </x:xf>
    <x:xf numFmtId="200" fontId="7" fillId="5" borderId="4" xfId="0" applyNumberFormat="1" applyFont="1" applyFill="1" applyBorder="1" applyAlignment="1">
      <x:alignment horizontal="right" vertical="center"/>
    </x:xf>
    <x:xf numFmtId="200" fontId="6" fillId="6" borderId="4" xfId="0" applyNumberFormat="1" applyFont="1" applyFill="1" applyBorder="1" applyAlignment="1">
      <x:alignment horizontal="right" vertical="center" wrapText="1"/>
    </x:xf>
    <x:xf numFmtId="200" fontId="7" fillId="4" borderId="4" xfId="0" applyNumberFormat="1" applyFont="1" applyFill="1" applyBorder="1" applyAlignment="1">
      <x:alignment horizontal="right" vertical="center" wrapText="1"/>
    </x:xf>
    <x:xf numFmtId="200" fontId="7" fillId="5" borderId="4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 applyAlignment="1">
      <x:alignment vertical="bottom" wrapText="0"/>
    </x:xf>
    <x:xf numFmtId="0" fontId="10" fillId="7" borderId="0" xfId="0" applyNumberFormat="1" applyFont="1" applyFill="1" applyBorder="1" applyAlignment="1">
      <x:alignment vertical="bottom" wrapText="0"/>
    </x:xf>
    <x:xf numFmtId="0" fontId="10" fillId="7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ad10f5a93495d" /><Relationship Type="http://schemas.openxmlformats.org/officeDocument/2006/relationships/theme" Target="/xl/theme/theme1.xml" Id="R7b01ca28a98247a3" /><Relationship Type="http://schemas.openxmlformats.org/officeDocument/2006/relationships/sharedStrings" Target="/xl/sharedStrings.xml" Id="R0d41950ab76b4fd7" /><Relationship Type="http://schemas.openxmlformats.org/officeDocument/2006/relationships/worksheet" Target="/xl/worksheets/sheet1.xml" Id="Ra76882ba95c5485a" /><Relationship Type="http://schemas.openxmlformats.org/officeDocument/2006/relationships/worksheet" Target="/xl/worksheets/sheet2.xml" Id="R01731faae5864d17" /><Relationship Type="http://schemas.openxmlformats.org/officeDocument/2006/relationships/worksheet" Target="/xl/worksheets/sheet3.xml" Id="R7ef7f3a5fa08471e" /><Relationship Type="http://schemas.openxmlformats.org/officeDocument/2006/relationships/worksheet" Target="/xl/worksheets/sheet4.xml" Id="Rb4d82ed5d08647a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2" width="45" customWidth="1"/>
    <x:col min="3" max="3" width="20" customWidth="1"/>
    <x:col min="4" max="4" width="8" customWidth="1"/>
    <x:col min="5" max="5" width="14" customWidth="1"/>
    <x:col min="6" max="6" width="16" customWidth="1"/>
    <x:col min="7" max="7" width="14" customWidth="1"/>
    <x:col min="8" max="9" width="16" customWidth="1"/>
    <x:col min="10" max="10" width="12" customWidth="1"/>
    <x:col min="11" max="11" width="14" customWidth="1"/>
    <x:col min="12" max="12" width="16" customWidth="1"/>
    <x:col min="13" max="13" width="14" customWidth="1"/>
    <x:col min="14" max="26" width="8.710000038146973" customWidth="1"/>
  </x:cols>
  <x:sheetData>
    <x:row r="1" ht="31.5" customHeight="1">
      <x:c r="A1" s="2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3"/>
    </x:row>
    <x:row r="2">
      <x:c r="A2" s="6" t="s">
        <x:v>1</x:v>
      </x:c>
    </x:row>
    <x:row r="4" ht="42" customHeight="1">
      <x:c r="A4" s="5" t="s">
        <x:v>2</x:v>
      </x:c>
      <x:c r="B4" s="5" t="s">
        <x:v>3</x:v>
      </x:c>
      <x:c r="C4" s="5" t="s">
        <x:v>4</x:v>
      </x:c>
      <x:c r="D4" s="5" t="s">
        <x:v>5</x:v>
      </x:c>
      <x:c r="E4" s="5" t="s">
        <x:v>6</x:v>
      </x:c>
      <x:c r="F4" s="5" t="s">
        <x:v>7</x:v>
      </x:c>
      <x:c r="G4" s="5" t="s">
        <x:v>8</x:v>
      </x:c>
      <x:c r="H4" s="5" t="s">
        <x:v>9</x:v>
      </x:c>
      <x:c r="I4" s="5" t="s">
        <x:v>10</x:v>
      </x:c>
      <x:c r="J4" s="5" t="s">
        <x:v>11</x:v>
      </x:c>
      <x:c r="K4" s="5" t="s">
        <x:v>12</x:v>
      </x:c>
      <x:c r="L4" s="5" t="s">
        <x:v>13</x:v>
      </x:c>
      <x:c r="M4" s="5" t="s">
        <x:v>14</x:v>
      </x:c>
    </x:row>
    <x:row r="5" ht="39.75" customHeight="1">
      <x:c r="A5" s="14" t="str">
        <x:v>AEZ-2</x:v>
      </x:c>
      <x:c r="B5" s="8" t="str">
        <x:v>Nilphamari et al.</x:v>
      </x:c>
      <x:c r="C5" s="11" t="str">
        <x:v>25.879°N, 88.257°E</x:v>
      </x:c>
      <x:c r="D5" s="11" t="str">
        <x:v>Soil</x:v>
      </x:c>
      <x:c r="E5" s="11" t="str">
        <x:v>4.6 (Acidic)</x:v>
      </x:c>
      <x:c r="F5" s="11" t="str">
        <x:v>1.21 (Low)</x:v>
      </x:c>
      <x:c r="G5" s="11" t="str">
        <x:v>Loam</x:v>
      </x:c>
      <x:c r="H5" s="18" t="n">
        <x:v>446896</x:v>
      </x:c>
      <x:c r="I5" s="18" t="n">
        <x:v>26303</x:v>
      </x:c>
      <x:c r="J5" s="46" t="n">
        <x:f t="shared" ref="J5:J19" si="1">I5/H5</x:f>
        <x:v>0.058857094268017614</x:v>
      </x:c>
      <x:c r="K5" s="18" t="n">
        <x:v>363</x:v>
      </x:c>
      <x:c r="L5" s="18" t="n">
        <x:v>227</x:v>
      </x:c>
      <x:c r="M5" s="11" t="str">
        <x:v>SRR31219345</x:v>
      </x:c>
    </x:row>
    <x:row r="6" ht="39.75" customHeight="1">
      <x:c r="A6" s="20" t="str">
        <x:v>AEZ-4</x:v>
      </x:c>
      <x:c r="B6" s="10" t="str">
        <x:v>Bogra et al.</x:v>
      </x:c>
      <x:c r="C6" s="15" t="str">
        <x:v>24.671°N, 89.546°E</x:v>
      </x:c>
      <x:c r="D6" s="15" t="str">
        <x:v>Soil</x:v>
      </x:c>
      <x:c r="E6" s="15" t="str">
        <x:v>5.1 (Acidic)</x:v>
      </x:c>
      <x:c r="F6" s="15" t="str">
        <x:v>2.82 (Medium)</x:v>
      </x:c>
      <x:c r="G6" s="15" t="str">
        <x:v>Silt loam</x:v>
      </x:c>
      <x:c r="H6" s="21" t="n">
        <x:v>810184</x:v>
      </x:c>
      <x:c r="I6" s="21" t="n">
        <x:v>49730</x:v>
      </x:c>
      <x:c r="J6" s="47" t="n">
        <x:f t="shared" si="1">I6/H6</x:f>
        <x:v>0.06138111836323601</x:v>
      </x:c>
      <x:c r="K6" s="21" t="n">
        <x:v>444</x:v>
      </x:c>
      <x:c r="L6" s="21" t="n">
        <x:v>290</x:v>
      </x:c>
      <x:c r="M6" s="15" t="str">
        <x:v>SRR31219339</x:v>
      </x:c>
    </x:row>
    <x:row r="7" ht="39.75" customHeight="1">
      <x:c r="A7" s="14" t="str">
        <x:v>AEZ-5</x:v>
      </x:c>
      <x:c r="B7" s="8" t="str">
        <x:v>Naogaon et al.</x:v>
      </x:c>
      <x:c r="C7" s="11" t="str">
        <x:v>24.529°N, 89.175°E</x:v>
      </x:c>
      <x:c r="D7" s="11" t="str">
        <x:v>Soil</x:v>
      </x:c>
      <x:c r="E7" s="11" t="str">
        <x:v>5.3 (Acidic)</x:v>
      </x:c>
      <x:c r="F7" s="11" t="str">
        <x:v>2.69 (Medium)</x:v>
      </x:c>
      <x:c r="G7" s="11" t="str">
        <x:v>Silt loam</x:v>
      </x:c>
      <x:c r="H7" s="18" t="n">
        <x:v>487106</x:v>
      </x:c>
      <x:c r="I7" s="18" t="n">
        <x:v>33056</x:v>
      </x:c>
      <x:c r="J7" s="46" t="n">
        <x:f t="shared" si="1">I7/H7</x:f>
        <x:v>0.06786202592454209</x:v>
      </x:c>
      <x:c r="K7" s="18" t="n">
        <x:v>364</x:v>
      </x:c>
      <x:c r="L7" s="18" t="n">
        <x:v>239</x:v>
      </x:c>
      <x:c r="M7" s="11" t="str">
        <x:v>SRR31219334</x:v>
      </x:c>
    </x:row>
    <x:row r="8" ht="39.75" customHeight="1">
      <x:c r="A8" s="20" t="str">
        <x:v>AEZ-10</x:v>
      </x:c>
      <x:c r="B8" s="10" t="str">
        <x:v>Ganges/Meghna channels et al.</x:v>
      </x:c>
      <x:c r="C8" s="15" t="str">
        <x:v>23.746°N, 89.769°E</x:v>
      </x:c>
      <x:c r="D8" s="15" t="str">
        <x:v>Soil</x:v>
      </x:c>
      <x:c r="E8" s="15" t="str">
        <x:v>7.1 (Alkaline)</x:v>
      </x:c>
      <x:c r="F8" s="15" t="str">
        <x:v>1.88 (Low)</x:v>
      </x:c>
      <x:c r="G8" s="15" t="str">
        <x:v>Silt clay loam</x:v>
      </x:c>
      <x:c r="H8" s="21" t="n">
        <x:v>367152</x:v>
      </x:c>
      <x:c r="I8" s="21" t="n">
        <x:v>19691</x:v>
      </x:c>
      <x:c r="J8" s="47" t="n">
        <x:f t="shared" si="1">I8/H8</x:f>
        <x:v>0.05363173835359742</x:v>
      </x:c>
      <x:c r="K8" s="21" t="n">
        <x:v>360</x:v>
      </x:c>
      <x:c r="L8" s="21" t="n">
        <x:v>237</x:v>
      </x:c>
      <x:c r="M8" s="15" t="str">
        <x:v>SRR31219333</x:v>
      </x:c>
    </x:row>
    <x:row r="9" ht="39.75" customHeight="1">
      <x:c r="A9" s="14" t="str">
        <x:v>AEZ-12</x:v>
      </x:c>
      <x:c r="B9" s="8" t="str">
        <x:v>Pabna et al.</x:v>
      </x:c>
      <x:c r="C9" s="11" t="str">
        <x:v>23.572°N, 89.825°E</x:v>
      </x:c>
      <x:c r="D9" s="11" t="str">
        <x:v>Soil</x:v>
      </x:c>
      <x:c r="E9" s="11" t="str">
        <x:v>6.9 (Acidic)</x:v>
      </x:c>
      <x:c r="F9" s="11" t="str">
        <x:v>2.08 (Medium)</x:v>
      </x:c>
      <x:c r="G9" s="11" t="str">
        <x:v>Clay</x:v>
      </x:c>
      <x:c r="H9" s="18" t="n">
        <x:v>574064</x:v>
      </x:c>
      <x:c r="I9" s="18" t="n">
        <x:v>20790</x:v>
      </x:c>
      <x:c r="J9" s="46" t="n">
        <x:f t="shared" si="1">I9/H9</x:f>
        <x:v>0.03621547423283815</x:v>
      </x:c>
      <x:c r="K9" s="18" t="n">
        <x:v>305</x:v>
      </x:c>
      <x:c r="L9" s="18" t="n">
        <x:v>210</x:v>
      </x:c>
      <x:c r="M9" s="11" t="str">
        <x:v>SRR31219332</x:v>
      </x:c>
    </x:row>
    <x:row r="10" ht="39.75" customHeight="1">
      <x:c r="A10" s="20" t="str">
        <x:v>AEZ-13</x:v>
      </x:c>
      <x:c r="B10" s="10" t="str">
        <x:v>Barisal et al.</x:v>
      </x:c>
      <x:c r="C10" s="15" t="str">
        <x:v>22.698°N, 89.518°E</x:v>
      </x:c>
      <x:c r="D10" s="15" t="str">
        <x:v>Soil</x:v>
      </x:c>
      <x:c r="E10" s="15" t="str">
        <x:v>7.2 (Alkaline)</x:v>
      </x:c>
      <x:c r="F10" s="15" t="str">
        <x:v>1.08 (Low)</x:v>
      </x:c>
      <x:c r="G10" s="15" t="str">
        <x:v>Silt loam</x:v>
      </x:c>
      <x:c r="H10" s="21" t="n">
        <x:v>530834</x:v>
      </x:c>
      <x:c r="I10" s="21" t="n">
        <x:v>20114</x:v>
      </x:c>
      <x:c r="J10" s="47" t="n">
        <x:f t="shared" si="1">I10/H10</x:f>
        <x:v>0.03789131818986727</x:v>
      </x:c>
      <x:c r="K10" s="21" t="n">
        <x:v>339</x:v>
      </x:c>
      <x:c r="L10" s="21" t="n">
        <x:v>227</x:v>
      </x:c>
      <x:c r="M10" s="15" t="str">
        <x:v>SRR31219344</x:v>
      </x:c>
    </x:row>
    <x:row r="11" ht="39.75" customHeight="1">
      <x:c r="A11" s="14" t="str">
        <x:v>AEZ-16</x:v>
      </x:c>
      <x:c r="B11" s="8" t="str">
        <x:v>Kishoreganj et al.</x:v>
      </x:c>
      <x:c r="C11" s="11" t="str">
        <x:v>23.577°N, 90.788°E</x:v>
      </x:c>
      <x:c r="D11" s="11" t="str">
        <x:v>Soil</x:v>
      </x:c>
      <x:c r="E11" s="11" t="str">
        <x:v>5.8 (Acidic)</x:v>
      </x:c>
      <x:c r="F11" s="11" t="str">
        <x:v>1.48 (Low)</x:v>
      </x:c>
      <x:c r="G11" s="11" t="str">
        <x:v>Loam</x:v>
      </x:c>
      <x:c r="H11" s="18" t="n">
        <x:v>508112</x:v>
      </x:c>
      <x:c r="I11" s="18" t="n">
        <x:v>29252</x:v>
      </x:c>
      <x:c r="J11" s="46" t="n">
        <x:f t="shared" si="1">I11/H11</x:f>
        <x:v>0.057569984570330954</x:v>
      </x:c>
      <x:c r="K11" s="18" t="n">
        <x:v>398</x:v>
      </x:c>
      <x:c r="L11" s="18" t="n">
        <x:v>262</x:v>
      </x:c>
      <x:c r="M11" s="11" t="str">
        <x:v>SRR31219343</x:v>
      </x:c>
    </x:row>
    <x:row r="12" ht="39.75" customHeight="1">
      <x:c r="A12" s="20" t="str">
        <x:v>AEZ-17</x:v>
      </x:c>
      <x:c r="B12" s="10" t="str">
        <x:v>Chandpur et al.</x:v>
      </x:c>
      <x:c r="C12" s="15" t="str">
        <x:v>23.120°N, 90.758°E</x:v>
      </x:c>
      <x:c r="D12" s="15" t="str">
        <x:v>Soil</x:v>
      </x:c>
      <x:c r="E12" s="15" t="str">
        <x:v>5.7 (Acidic)</x:v>
      </x:c>
      <x:c r="F12" s="15" t="str">
        <x:v>2.15 (Medium)</x:v>
      </x:c>
      <x:c r="G12" s="15" t="str">
        <x:v>Silt loam</x:v>
      </x:c>
      <x:c r="H12" s="21" t="n">
        <x:v>255788</x:v>
      </x:c>
      <x:c r="I12" s="21" t="n">
        <x:v>15144</x:v>
      </x:c>
      <x:c r="J12" s="47" t="n">
        <x:f t="shared" si="1">I12/H12</x:f>
        <x:v>0.05920527937197992</x:v>
      </x:c>
      <x:c r="K12" s="21" t="n">
        <x:v>304</x:v>
      </x:c>
      <x:c r="L12" s="21" t="n">
        <x:v>202</x:v>
      </x:c>
      <x:c r="M12" s="15" t="str">
        <x:v>SRR31219342</x:v>
      </x:c>
    </x:row>
    <x:row r="13" ht="39.75" customHeight="1">
      <x:c r="A13" s="14" t="str">
        <x:v>AEZ-19</x:v>
      </x:c>
      <x:c r="B13" s="8" t="str">
        <x:v>Kishoreganj et al.</x:v>
      </x:c>
      <x:c r="C13" s="11" t="str">
        <x:v>23.185°N, 89.810°E</x:v>
      </x:c>
      <x:c r="D13" s="11" t="str">
        <x:v>Soil</x:v>
      </x:c>
      <x:c r="E13" s="11" t="str">
        <x:v>6.6 (Acidic)</x:v>
      </x:c>
      <x:c r="F13" s="11" t="str">
        <x:v>2.89 (Medium)</x:v>
      </x:c>
      <x:c r="G13" s="11" t="str">
        <x:v>Clay loam</x:v>
      </x:c>
      <x:c r="H13" s="18" t="n">
        <x:v>341424</x:v>
      </x:c>
      <x:c r="I13" s="18" t="n">
        <x:v>16440</x:v>
      </x:c>
      <x:c r="J13" s="46" t="n">
        <x:f t="shared" si="1">I13/H13</x:f>
        <x:v>0.04815127231829045</x:v>
      </x:c>
      <x:c r="K13" s="18" t="n">
        <x:v>359</x:v>
      </x:c>
      <x:c r="L13" s="18" t="n">
        <x:v>235</x:v>
      </x:c>
      <x:c r="M13" s="11" t="str">
        <x:v>SRR31219341</x:v>
      </x:c>
    </x:row>
    <x:row r="14" ht="39.75" customHeight="1">
      <x:c r="A14" s="20" t="str">
        <x:v>AEZ-25</x:v>
      </x:c>
      <x:c r="B14" s="10" t="str">
        <x:v>Dinajpur et al.</x:v>
      </x:c>
      <x:c r="C14" s="15" t="str">
        <x:v>24.656°N, 89.323°E</x:v>
      </x:c>
      <x:c r="D14" s="15" t="str">
        <x:v>Soil</x:v>
      </x:c>
      <x:c r="E14" s="15" t="str">
        <x:v>5.7 (Acidic)</x:v>
      </x:c>
      <x:c r="F14" s="15" t="str">
        <x:v>1.82 (Low)</x:v>
      </x:c>
      <x:c r="G14" s="15" t="str">
        <x:v>Clay loam</x:v>
      </x:c>
      <x:c r="H14" s="21" t="n">
        <x:v>528176</x:v>
      </x:c>
      <x:c r="I14" s="21" t="n">
        <x:v>27085</x:v>
      </x:c>
      <x:c r="J14" s="47" t="n">
        <x:f t="shared" si="1">I14/H14</x:f>
        <x:v>0.05128025506649299</x:v>
      </x:c>
      <x:c r="K14" s="21" t="n">
        <x:v>374</x:v>
      </x:c>
      <x:c r="L14" s="21" t="n">
        <x:v>252</x:v>
      </x:c>
      <x:c r="M14" s="15" t="str">
        <x:v>SRR31219340</x:v>
      </x:c>
    </x:row>
    <x:row r="15" ht="39.75" customHeight="1">
      <x:c r="A15" s="14" t="str">
        <x:v>AEZ-26</x:v>
      </x:c>
      <x:c r="B15" s="8" t="str">
        <x:v>Rajshahi et al.</x:v>
      </x:c>
      <x:c r="C15" s="11" t="str">
        <x:v>24.849°N, 88.440°E</x:v>
      </x:c>
      <x:c r="D15" s="11" t="str">
        <x:v>Soil</x:v>
      </x:c>
      <x:c r="E15" s="11" t="str">
        <x:v>6.0 (Acidic)</x:v>
      </x:c>
      <x:c r="F15" s="11" t="str">
        <x:v>1.86 (Low)</x:v>
      </x:c>
      <x:c r="G15" s="11" t="str">
        <x:v>Clay loam</x:v>
      </x:c>
      <x:c r="H15" s="18" t="n">
        <x:v>570734</x:v>
      </x:c>
      <x:c r="I15" s="18" t="n">
        <x:v>35620</x:v>
      </x:c>
      <x:c r="J15" s="46" t="n">
        <x:f t="shared" si="1">I15/H15</x:f>
        <x:v>0.06241086040081719</x:v>
      </x:c>
      <x:c r="K15" s="18" t="n">
        <x:v>445</x:v>
      </x:c>
      <x:c r="L15" s="18" t="n">
        <x:v>280</x:v>
      </x:c>
      <x:c r="M15" s="11" t="str">
        <x:v>SRR31219338</x:v>
      </x:c>
    </x:row>
    <x:row r="16" ht="39.75" customHeight="1">
      <x:c r="A16" s="20" t="str">
        <x:v>AEZ-27</x:v>
      </x:c>
      <x:c r="B16" s="10" t="str">
        <x:v>Dinajpur et al.</x:v>
      </x:c>
      <x:c r="C16" s="15" t="str">
        <x:v>25.616°N, 89.190°E</x:v>
      </x:c>
      <x:c r="D16" s="15" t="str">
        <x:v>Soil</x:v>
      </x:c>
      <x:c r="E16" s="15" t="str">
        <x:v>5.3 (Acidic)</x:v>
      </x:c>
      <x:c r="F16" s="15" t="str">
        <x:v>1.08 (Low)</x:v>
      </x:c>
      <x:c r="G16" s="15" t="str">
        <x:v>Silt loam</x:v>
      </x:c>
      <x:c r="H16" s="21" t="n">
        <x:v>342928</x:v>
      </x:c>
      <x:c r="I16" s="21" t="n">
        <x:v>16257</x:v>
      </x:c>
      <x:c r="J16" s="47" t="n">
        <x:f t="shared" si="1">I16/H16</x:f>
        <x:v>0.04740645266644893</x:v>
      </x:c>
      <x:c r="K16" s="21" t="n">
        <x:v>305</x:v>
      </x:c>
      <x:c r="L16" s="21" t="n">
        <x:v>208</x:v>
      </x:c>
      <x:c r="M16" s="15" t="str">
        <x:v>SRR31219337</x:v>
      </x:c>
    </x:row>
    <x:row r="17" ht="39.75" customHeight="1">
      <x:c r="A17" s="14" t="str">
        <x:v>AEZ-28</x:v>
      </x:c>
      <x:c r="B17" s="8" t="str">
        <x:v>Dhaka et al.</x:v>
      </x:c>
      <x:c r="C17" s="11" t="str">
        <x:v>24.665°N, 90.030°E</x:v>
      </x:c>
      <x:c r="D17" s="11" t="str">
        <x:v>Soil</x:v>
      </x:c>
      <x:c r="E17" s="11" t="str">
        <x:v>3.4 (Acidic)</x:v>
      </x:c>
      <x:c r="F17" s="11" t="str">
        <x:v>2.29 (Medium)</x:v>
      </x:c>
      <x:c r="G17" s="11" t="str">
        <x:v>Sandy loam</x:v>
      </x:c>
      <x:c r="H17" s="18" t="n">
        <x:v>819726</x:v>
      </x:c>
      <x:c r="I17" s="18" t="n">
        <x:v>14447</x:v>
      </x:c>
      <x:c r="J17" s="46" t="n">
        <x:f t="shared" si="1">I17/H17</x:f>
        <x:v>0.017624181738776126</x:v>
      </x:c>
      <x:c r="K17" s="18" t="n">
        <x:v>208</x:v>
      </x:c>
      <x:c r="L17" s="18" t="n">
        <x:v>125</x:v>
      </x:c>
      <x:c r="M17" s="11" t="str">
        <x:v>SRR31219336</x:v>
      </x:c>
    </x:row>
    <x:row r="18" ht="39.75" customHeight="1">
      <x:c r="A18" s="20" t="str">
        <x:v>AEZ-29</x:v>
      </x:c>
      <x:c r="B18" s="10" t="str">
        <x:v>Khagrachhari et al.</x:v>
      </x:c>
      <x:c r="C18" s="15" t="str">
        <x:v>22.170°N, 92.189°E</x:v>
      </x:c>
      <x:c r="D18" s="15" t="str">
        <x:v>Soil</x:v>
      </x:c>
      <x:c r="E18" s="15" t="str">
        <x:v>4.1 (Acidic)</x:v>
      </x:c>
      <x:c r="F18" s="15" t="str">
        <x:v>2.35 (Medium)</x:v>
      </x:c>
      <x:c r="G18" s="15" t="str">
        <x:v>Loam</x:v>
      </x:c>
      <x:c r="H18" s="21" t="n">
        <x:v>616240</x:v>
      </x:c>
      <x:c r="I18" s="21" t="n">
        <x:v>19237</x:v>
      </x:c>
      <x:c r="J18" s="47" t="n">
        <x:f t="shared" si="1">I18/H18</x:f>
        <x:v>0.031216733740101258</x:v>
      </x:c>
      <x:c r="K18" s="21" t="n">
        <x:v>226</x:v>
      </x:c>
      <x:c r="L18" s="21" t="n">
        <x:v>149</x:v>
      </x:c>
      <x:c r="M18" s="15" t="str">
        <x:v>SRR31219335</x:v>
      </x:c>
    </x:row>
    <x:row r="19" ht="39.75" customHeight="1">
      <x:c r="A19" s="23" t="s">
        <x:v>15</x:v>
      </x:c>
      <x:c r="B19" s="4"/>
      <x:c r="C19" s="4"/>
      <x:c r="D19" s="4"/>
      <x:c r="E19" s="4"/>
      <x:c r="F19" s="4"/>
      <x:c r="G19" s="3"/>
      <x:c r="H19" s="24" t="n">
        <x:f t="shared" ref="H19:I19" si="2">SUM(H5:H18)</x:f>
        <x:v>7199364</x:v>
      </x:c>
      <x:c r="I19" s="24" t="n">
        <x:f t="shared" si="2">SUM(I5:I18)</x:f>
        <x:v>343166</x:v>
      </x:c>
      <x:c r="J19" s="48" t="n">
        <x:f t="shared" si="1">I19/H19</x:f>
        <x:v>0.047666154954798784</x:v>
      </x:c>
      <x:c r="K19" s="24" t="n">
        <x:f t="shared" ref="K19:L19" si="3">SUM(K5:K18)</x:f>
        <x:v>544</x:v>
      </x:c>
      <x:c r="L19" s="24" t="n">
        <x:f t="shared" si="3"/>
        <x:v>341</x:v>
      </x:c>
      <x:c r="M19" s="26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2"/>
    <x:mergeCell ref="A19:G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8" customWidth="1"/>
    <x:col min="2" max="2" width="25" customWidth="1"/>
    <x:col min="3" max="3" width="22" customWidth="1"/>
    <x:col min="4" max="26" width="8.710000038146973" customWidth="1"/>
  </x:cols>
  <x:sheetData>
    <x:row r="1" ht="27.75" customHeight="1">
      <x:c r="A1" s="1" t="s">
        <x:v>16</x:v>
      </x:c>
      <x:c r="B1" s="4"/>
      <x:c r="C1" s="3"/>
    </x:row>
    <x:row r="3" ht="27.75" customHeight="1">
      <x:c r="A3" s="5" t="s">
        <x:v>17</x:v>
      </x:c>
      <x:c r="B3" s="5" t="s">
        <x:v>18</x:v>
      </x:c>
      <x:c r="C3" s="5" t="s">
        <x:v>19</x:v>
      </x:c>
    </x:row>
    <x:row r="4">
      <x:c r="A4" s="11" t="n">
        <x:v>1</x:v>
      </x:c>
      <x:c r="B4" s="12" t="str">
        <x:v>Gemmata</x:v>
      </x:c>
      <x:c r="C4" s="49" t="n">
        <x:v>0.1211</x:v>
      </x:c>
    </x:row>
    <x:row r="5">
      <x:c r="A5" s="15" t="n">
        <x:v>2</x:v>
      </x:c>
      <x:c r="B5" s="16" t="str">
        <x:v>Planctomyces</x:v>
      </x:c>
      <x:c r="C5" s="50" t="n">
        <x:v>0.0883</x:v>
      </x:c>
    </x:row>
    <x:row r="6">
      <x:c r="A6" s="11" t="n">
        <x:v>3</x:v>
      </x:c>
      <x:c r="B6" s="12" t="str">
        <x:v>Nocardioides</x:v>
      </x:c>
      <x:c r="C6" s="49" t="n">
        <x:v>0.0611</x:v>
      </x:c>
    </x:row>
    <x:row r="7">
      <x:c r="A7" s="15" t="n">
        <x:v>4</x:v>
      </x:c>
      <x:c r="B7" s="10" t="str">
        <x:v>Anaerolinea</x:v>
      </x:c>
      <x:c r="C7" s="50" t="n">
        <x:v>0.0528</x:v>
      </x:c>
    </x:row>
    <x:row r="8">
      <x:c r="A8" s="11"/>
      <x:c r="B8" s="8"/>
      <x:c r="C8" s="13"/>
    </x:row>
    <x:row r="9">
      <x:c r="A9" s="15"/>
      <x:c r="B9" s="10"/>
      <x:c r="C9" s="17"/>
    </x:row>
    <x:row r="10">
      <x:c r="A10" s="11"/>
      <x:c r="B10" s="8"/>
      <x:c r="C10" s="13"/>
    </x:row>
    <x:row r="11">
      <x:c r="A11" s="15"/>
      <x:c r="B11" s="10"/>
      <x:c r="C11" s="17"/>
    </x:row>
    <x:row r="12">
      <x:c r="A12" s="11"/>
      <x:c r="B12" s="8"/>
      <x:c r="C12" s="13"/>
    </x:row>
    <x:row r="13">
      <x:c r="A13" s="15"/>
      <x:c r="B13" s="10"/>
      <x:c r="C13" s="17"/>
    </x:row>
    <x:row r="14">
      <x:c r="A14" s="11"/>
      <x:c r="B14" s="8"/>
      <x:c r="C14" s="1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28" customWidth="1"/>
    <x:col min="2" max="2" width="65" customWidth="1"/>
    <x:col min="3" max="26" width="8.710000038146973" customWidth="1"/>
  </x:cols>
  <x:sheetData>
    <x:row r="1" ht="27.75" customHeight="1">
      <x:c r="A1" s="1" t="s">
        <x:v>20</x:v>
      </x:c>
      <x:c r="B1" s="3"/>
    </x:row>
    <x:row r="3" ht="25.5" customHeight="1">
      <x:c r="A3" s="5" t="s">
        <x:v>21</x:v>
      </x:c>
      <x:c r="B3" s="5" t="s">
        <x:v>22</x:v>
      </x:c>
    </x:row>
    <x:row r="4" ht="21.75" customHeight="1">
      <x:c r="A4" s="7" t="s">
        <x:v>23</x:v>
      </x:c>
      <x:c r="B4" s="8" t="s">
        <x:v>24</x:v>
      </x:c>
    </x:row>
    <x:row r="5" ht="21.75" customHeight="1">
      <x:c r="A5" s="9" t="s">
        <x:v>25</x:v>
      </x:c>
      <x:c r="B5" s="10" t="s">
        <x:v>26</x:v>
      </x:c>
    </x:row>
    <x:row r="6" ht="21.75" customHeight="1">
      <x:c r="A6" s="7" t="s">
        <x:v>27</x:v>
      </x:c>
      <x:c r="B6" s="8" t="s">
        <x:v>28</x:v>
      </x:c>
    </x:row>
    <x:row r="7" ht="21.75" customHeight="1">
      <x:c r="A7" s="9" t="s">
        <x:v>29</x:v>
      </x:c>
      <x:c r="B7" s="10" t="s">
        <x:v>30</x:v>
      </x:c>
    </x:row>
    <x:row r="8" ht="21.75" customHeight="1">
      <x:c r="A8" s="7" t="s">
        <x:v>31</x:v>
      </x:c>
      <x:c r="B8" s="8" t="s">
        <x:v>32</x:v>
      </x:c>
    </x:row>
    <x:row r="9" ht="21.75" customHeight="1">
      <x:c r="A9" s="9" t="s">
        <x:v>33</x:v>
      </x:c>
      <x:c r="B9" s="10" t="s">
        <x:v>34</x:v>
      </x:c>
    </x:row>
    <x:row r="10" ht="21.75" customHeight="1">
      <x:c r="A10" s="7" t="s">
        <x:v>35</x:v>
      </x:c>
      <x:c r="B10" s="8" t="str">
        <x:v>Not stated in the supplied PDF</x:v>
      </x:c>
    </x:row>
    <x:row r="11" ht="21.75" customHeight="1">
      <x:c r="A11" s="9" t="s">
        <x:v>36</x:v>
      </x:c>
      <x:c r="B11" s="10" t="s">
        <x:v>37</x:v>
      </x:c>
    </x:row>
    <x:row r="12" ht="21.75" customHeight="1">
      <x:c r="A12" s="7" t="s">
        <x:v>38</x:v>
      </x:c>
      <x:c r="B12" s="8" t="s">
        <x:v>39</x:v>
      </x:c>
    </x:row>
    <x:row r="13" ht="21.75" customHeight="1">
      <x:c r="A13" s="9" t="s">
        <x:v>40</x:v>
      </x:c>
      <x:c r="B13" s="10" t="s">
        <x:v>41</x:v>
      </x:c>
    </x:row>
    <x:row r="14" ht="21.75" customHeight="1">
      <x:c r="A14" s="7" t="s">
        <x:v>42</x:v>
      </x:c>
      <x:c r="B14" s="8" t="s">
        <x:v>43</x:v>
      </x:c>
    </x:row>
    <x:row r="15" ht="21.75" customHeight="1">
      <x:c r="A15" s="9" t="s">
        <x:v>44</x:v>
      </x:c>
      <x:c r="B15" s="10" t="s">
        <x:v>45</x:v>
      </x:c>
    </x:row>
    <x:row r="16" ht="21.75" customHeight="1">
      <x:c r="A16" s="7" t="s">
        <x:v>46</x:v>
      </x:c>
      <x:c r="B16" s="8" t="s">
        <x:v>47</x:v>
      </x:c>
    </x:row>
    <x:row r="17" ht="21.75" customHeight="1">
      <x:c r="A17" s="9" t="s">
        <x:v>48</x:v>
      </x:c>
      <x:c r="B17" s="10" t="s">
        <x:v>49</x:v>
      </x:c>
    </x:row>
    <x:row r="18" ht="21.75" customHeight="1">
      <x:c r="A18" s="7" t="s">
        <x:v>50</x:v>
      </x:c>
      <x:c r="B18" s="8" t="s">
        <x:v>51</x:v>
      </x:c>
    </x:row>
    <x:row r="19" ht="21.75" customHeight="1">
      <x:c r="A19" s="9" t="s">
        <x:v>52</x:v>
      </x:c>
      <x:c r="B19" s="10" t="s">
        <x:v>53</x:v>
      </x:c>
    </x:row>
    <x:row r="20" ht="21.75" customHeight="1">
      <x:c r="A20" s="7" t="s">
        <x:v>54</x:v>
      </x:c>
      <x:c r="B20" s="8" t="str">
        <x:v>AEZ-26 (445 OTUs) — Rajshahi et al.</x:v>
      </x:c>
    </x:row>
    <x:row r="21" ht="21.75" customHeight="1">
      <x:c r="A21" s="9" t="s">
        <x:v>55</x:v>
      </x:c>
      <x:c r="B21" s="10" t="str">
        <x:v>AEZ-28 (208 OTUs) — Dhaka et al. (pH 3.4, most acidic)</x:v>
      </x:c>
    </x:row>
    <x:row r="22" ht="21.75" customHeight="1">
      <x:c r="A22" s="7" t="s">
        <x:v>56</x:v>
      </x:c>
      <x:c r="B22" s="8" t="s">
        <x:v>57</x:v>
      </x:c>
    </x:row>
    <x:row r="23" ht="21.75" customHeight="1">
      <x:c r="A23" s="9" t="s">
        <x:v>58</x:v>
      </x:c>
      <x:c r="B23" s="10" t="s">
        <x:v>59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5" hidden="0" customWidth="1"/>
  </x:cols>
  <x:sheetData>
    <x:row r="1">
      <x:c r="A1" s="53" t="str">
        <x:v>Check</x:v>
      </x:c>
      <x:c r="B1" s="53" t="str">
        <x:v>Result</x:v>
      </x:c>
    </x:row>
    <x:row r="2">
      <x:c r="A2" t="str">
        <x:v>Ground truth</x:v>
      </x:c>
      <x:c r="B2" t="str">
        <x:v>Supplied bangladesh_soil_microbiome.pdf (Islam et al., 2025)</x:v>
      </x:c>
    </x:row>
    <x:row r="3">
      <x:c r="A3" t="str">
        <x:v>Spreadsheet status</x:v>
      </x:c>
      <x:c r="B3" t="str">
        <x:v>Partly incorrect / contained details not supported by the supplied PDF</x:v>
      </x:c>
    </x:row>
    <x:row r="4">
      <x:c r="A4" t="str">
        <x:v>Corrected locations</x:v>
      </x:c>
      <x:c r="B4" t="str">
        <x:v>Replaced expanded district descriptions with the exact abbreviated locations shown in PDF Table 1</x:v>
      </x:c>
    </x:row>
    <x:row r="5">
      <x:c r="A5" t="str">
        <x:v>Highest OTU sample</x:v>
      </x:c>
      <x:c r="B5" t="str">
        <x:v>Corrected from AEZ-4 (444) to AEZ-26 (445)</x:v>
      </x:c>
    </x:row>
    <x:row r="6">
      <x:c r="A6" t="str">
        <x:v>Top genera</x:v>
      </x:c>
      <x:c r="B6" t="str">
        <x:v>Removed ranks 5–10 because the supplied PDF explicitly reports percentages only for Gemmata, Planctomyces, Nocardioides, and Anaerolinea</x:v>
      </x:c>
    </x:row>
    <x:row r="7">
      <x:c r="A7" t="str">
        <x:v>Funding</x:v>
      </x:c>
      <x:c r="B7" t="str">
        <x:v>Changed to “Not stated in the supplied PDF”</x:v>
      </x:c>
    </x:row>
    <x:row r="8">
      <x:c r="A8" t="str">
        <x:v>Totals</x:v>
      </x:c>
      <x:c r="B8" t="str">
        <x:v>Raw reads 7,199,364; mapped reads 343,166; overall 544 OTUs and 341 genera, matching the PDF</x:v>
      </x:c>
    </x:row>
  </x:sheetData>
  <x:pageMargins left="0.7" right="0.7" top="0.75" bottom="0.75" header="0.3" footer="0.3"/>
</x:worksheet>
</file>